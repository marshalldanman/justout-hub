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GK Moves - Gambling" sheetId="2" state="visible" r:id="rId2"/>
    <sheet name="Bee AI x GK Integration" sheetId="3" state="visible" r:id="rId3"/>
    <sheet name="Scoring Rules" sheetId="4" state="visible" r:id="rId4"/>
    <sheet name="Level Progression" sheetId="5" state="visible" r:id="rId5"/>
    <sheet name="Daily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2F2F5"/>
        <bgColor rgb="00F2F2F5"/>
      </patternFill>
    </fill>
    <fill>
      <patternFill patternType="solid">
        <fgColor rgb="00FFFFFF"/>
        <bgColor rgb="00FFFFFF"/>
      </patternFill>
    </fill>
    <fill>
      <patternFill patternType="solid">
        <fgColor rgb="00BDC3C7"/>
        <bgColor rgb="00BDC3C7"/>
      </patternFill>
    </fill>
    <fill>
      <patternFill patternType="solid">
        <fgColor rgb="0085C1E9"/>
        <bgColor rgb="0085C1E9"/>
      </patternFill>
    </fill>
    <fill>
      <patternFill patternType="solid">
        <fgColor rgb="00F9E79F"/>
        <bgColor rgb="00F9E79F"/>
      </patternFill>
    </fill>
    <fill>
      <patternFill patternType="solid">
        <fgColor rgb="00F0B27A"/>
        <bgColor rgb="00F0B27A"/>
      </patternFill>
    </fill>
    <fill>
      <patternFill patternType="solid">
        <fgColor rgb="00E74C3C"/>
        <bgColor rgb="00E74C3C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5" customWidth="1" min="3" max="3"/>
    <col width="25" customWidth="1" min="4" max="4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Aliases</t>
        </is>
      </c>
      <c r="D1" s="1" t="inlineStr">
        <is>
          <t>Core Principle</t>
        </is>
      </c>
    </row>
    <row r="2">
      <c r="A2" s="2" t="inlineStr">
        <is>
          <t>Gegenkraft</t>
        </is>
      </c>
      <c r="B2" s="2" t="inlineStr">
        <is>
          <t>The action-power of intentional daily opposition of a habit — the intentional wedge that purposely sheds bad habits through deliberate denial/replacement, strategical countering or sabotage; its effectiveness tied to the law of momentum/inertia.</t>
        </is>
      </c>
      <c r="C2" s="2" t="inlineStr">
        <is>
          <t>Opposing Power, Gk-power, gkpower, gk</t>
        </is>
      </c>
      <c r="D2" s="2" t="inlineStr">
        <is>
          <t>Law of Momentum/Inertia</t>
        </is>
      </c>
    </row>
    <row r="3">
      <c r="A3" s="3" t="inlineStr">
        <is>
          <t>GK Move</t>
        </is>
      </c>
      <c r="B3" s="3" t="inlineStr">
        <is>
          <t>A specific daily action designed to oppose and disrupt a target habit</t>
        </is>
      </c>
      <c r="C3" s="3" t="inlineStr">
        <is>
          <t>Counter-move</t>
        </is>
      </c>
      <c r="D3" s="3" t="inlineStr">
        <is>
          <t>Deliberate opposition</t>
        </is>
      </c>
    </row>
    <row r="4">
      <c r="A4" s="2" t="inlineStr">
        <is>
          <t>GK Power Level</t>
        </is>
      </c>
      <c r="B4" s="2" t="inlineStr">
        <is>
          <t>Self-rated daily score (1-10) of one's resistance strength and commitment</t>
        </is>
      </c>
      <c r="C4" s="2" t="inlineStr">
        <is>
          <t>Power Level</t>
        </is>
      </c>
      <c r="D4" s="2" t="inlineStr">
        <is>
          <t>Self-awareness</t>
        </is>
      </c>
    </row>
    <row r="5">
      <c r="A5" s="3" t="inlineStr">
        <is>
          <t>Boss Battle</t>
        </is>
      </c>
      <c r="B5" s="3" t="inlineStr">
        <is>
          <t>A day with 3 or more urges — surviving clean earns double points</t>
        </is>
      </c>
      <c r="C5" s="3" t="inlineStr">
        <is>
          <t>High-urge day</t>
        </is>
      </c>
      <c r="D5" s="3" t="inlineStr">
        <is>
          <t>Resilience under pressure</t>
        </is>
      </c>
    </row>
    <row r="6">
      <c r="A6" s="2" t="inlineStr">
        <is>
          <t>GK Streak</t>
        </is>
      </c>
      <c r="B6" s="2" t="inlineStr">
        <is>
          <t>Consecutive days of completed morning declarations and logged resistance</t>
        </is>
      </c>
      <c r="C6" s="2" t="inlineStr">
        <is>
          <t>Streak</t>
        </is>
      </c>
      <c r="D6" s="2" t="inlineStr">
        <is>
          <t>Momentum building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4" customWidth="1" min="4" max="4"/>
    <col width="35" customWidth="1" min="5" max="5"/>
    <col width="12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Move 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Daily Action</t>
        </is>
      </c>
      <c r="F1" s="1" t="inlineStr">
        <is>
          <t>Difficulty</t>
        </is>
      </c>
      <c r="G1" s="1" t="inlineStr">
        <is>
          <t>Impact</t>
        </is>
      </c>
    </row>
    <row r="2">
      <c r="A2" s="2" t="n">
        <v>1</v>
      </c>
      <c r="B2" s="2" t="inlineStr">
        <is>
          <t>Delete &amp; Block</t>
        </is>
      </c>
      <c r="C2" s="2" t="inlineStr">
        <is>
          <t>Uninstall every gambling app and use phone content restrictions to block re-downloading. Daily check: if it's back, it's gone again.</t>
        </is>
      </c>
      <c r="D2" s="2" t="inlineStr">
        <is>
          <t>Prevention</t>
        </is>
      </c>
      <c r="E2" s="2" t="inlineStr">
        <is>
          <t>Check app store restrictions are active</t>
        </is>
      </c>
      <c r="F2" s="2" t="inlineStr">
        <is>
          <t>Easy</t>
        </is>
      </c>
      <c r="G2" s="2" t="inlineStr">
        <is>
          <t>High</t>
        </is>
      </c>
    </row>
    <row r="3">
      <c r="A3" s="3" t="n">
        <v>2</v>
      </c>
      <c r="B3" s="3" t="inlineStr">
        <is>
          <t>Kill the Funding</t>
        </is>
      </c>
      <c r="C3" s="3" t="inlineStr">
        <is>
          <t>Remove saved payment methods, cards, and autofill credentials tied to gambling sites. Re-entering info = friction wall.</t>
        </is>
      </c>
      <c r="D3" s="3" t="inlineStr">
        <is>
          <t>Prevention</t>
        </is>
      </c>
      <c r="E3" s="3" t="inlineStr">
        <is>
          <t>Verify no saved payment methods exist</t>
        </is>
      </c>
      <c r="F3" s="3" t="inlineStr">
        <is>
          <t>Easy</t>
        </is>
      </c>
      <c r="G3" s="3" t="inlineStr">
        <is>
          <t>High</t>
        </is>
      </c>
    </row>
    <row r="4">
      <c r="A4" s="2" t="n">
        <v>3</v>
      </c>
      <c r="B4" s="2" t="inlineStr">
        <is>
          <t>Redirect the Trigger</t>
        </is>
      </c>
      <c r="C4" s="2" t="inlineStr">
        <is>
          <t>Identify the exact moment you reach for a gambling app (boredom/downtime/stress) and replace with a 5-minute action: walk, pushups, language lesson, journaling.</t>
        </is>
      </c>
      <c r="D4" s="2" t="inlineStr">
        <is>
          <t>Replacement</t>
        </is>
      </c>
      <c r="E4" s="2" t="inlineStr">
        <is>
          <t>Perform replacement action when triggered</t>
        </is>
      </c>
      <c r="F4" s="2" t="inlineStr">
        <is>
          <t>Medium</t>
        </is>
      </c>
      <c r="G4" s="2" t="inlineStr">
        <is>
          <t>High</t>
        </is>
      </c>
    </row>
    <row r="5">
      <c r="A5" s="3" t="n">
        <v>4</v>
      </c>
      <c r="B5" s="3" t="inlineStr">
        <is>
          <t>Screen Time Sabotage</t>
        </is>
      </c>
      <c r="C5" s="3" t="inlineStr">
        <is>
          <t>Set daily screen time limit of 0 minutes on gambling-category apps/websites. Someone else holds the Screen Time passcode.</t>
        </is>
      </c>
      <c r="D5" s="3" t="inlineStr">
        <is>
          <t>Prevention</t>
        </is>
      </c>
      <c r="E5" s="3" t="inlineStr">
        <is>
          <t>Confirm screen time limits are enforced</t>
        </is>
      </c>
      <c r="F5" s="3" t="inlineStr">
        <is>
          <t>Easy</t>
        </is>
      </c>
      <c r="G5" s="3" t="inlineStr">
        <is>
          <t>High</t>
        </is>
      </c>
    </row>
    <row r="6">
      <c r="A6" s="2" t="n">
        <v>5</v>
      </c>
      <c r="B6" s="2" t="inlineStr">
        <is>
          <t>Environment Poisoning</t>
        </is>
      </c>
      <c r="C6" s="2" t="inlineStr">
        <is>
          <t>Change phone wallpaper to bank statement showing losses or a written reminder of why you're stopping.</t>
        </is>
      </c>
      <c r="D6" s="2" t="inlineStr">
        <is>
          <t>Psychological</t>
        </is>
      </c>
      <c r="E6" s="2" t="inlineStr">
        <is>
          <t>Keep wallpaper as anti-gambling reminder</t>
        </is>
      </c>
      <c r="F6" s="2" t="inlineStr">
        <is>
          <t>Easy</t>
        </is>
      </c>
      <c r="G6" s="2" t="inlineStr">
        <is>
          <t>Medium</t>
        </is>
      </c>
    </row>
    <row r="7">
      <c r="A7" s="3" t="n">
        <v>6</v>
      </c>
      <c r="B7" s="3" t="inlineStr">
        <is>
          <t>Announce the Bet You Didn't Make</t>
        </is>
      </c>
      <c r="C7" s="3" t="inlineStr">
        <is>
          <t>Each day write down one specific bet you would have made and the amount. Track running total of money saved.</t>
        </is>
      </c>
      <c r="D7" s="3" t="inlineStr">
        <is>
          <t>Tracking</t>
        </is>
      </c>
      <c r="E7" s="3" t="inlineStr">
        <is>
          <t>Log the bet not made and amount saved</t>
        </is>
      </c>
      <c r="F7" s="3" t="inlineStr">
        <is>
          <t>Medium</t>
        </is>
      </c>
      <c r="G7" s="3" t="inlineStr">
        <is>
          <t>High</t>
        </is>
      </c>
    </row>
    <row r="8">
      <c r="A8" s="2" t="n">
        <v>7</v>
      </c>
      <c r="B8" s="2" t="inlineStr">
        <is>
          <t>Notification Detox</t>
        </is>
      </c>
      <c r="C8" s="2" t="inlineStr">
        <is>
          <t>Unsubscribe from every gambling promo email, block SMS marketing, turn off push notifications.</t>
        </is>
      </c>
      <c r="D8" s="2" t="inlineStr">
        <is>
          <t>Prevention</t>
        </is>
      </c>
      <c r="E8" s="2" t="inlineStr">
        <is>
          <t>Check for and block any new gambling notifications</t>
        </is>
      </c>
      <c r="F8" s="2" t="inlineStr">
        <is>
          <t>Easy</t>
        </is>
      </c>
      <c r="G8" s="2" t="inlineStr">
        <is>
          <t>Medium</t>
        </is>
      </c>
    </row>
    <row r="9">
      <c r="A9" s="3" t="n">
        <v>8</v>
      </c>
      <c r="B9" s="3" t="inlineStr">
        <is>
          <t>Accountability Ping</t>
        </is>
      </c>
      <c r="C9" s="3" t="inlineStr">
        <is>
          <t>Text one trusted person daily: 'Day X, no gambling.' Social commitment creates cost to relapsing.</t>
        </is>
      </c>
      <c r="D9" s="3" t="inlineStr">
        <is>
          <t>Social</t>
        </is>
      </c>
      <c r="E9" s="3" t="inlineStr">
        <is>
          <t>Send daily accountability text</t>
        </is>
      </c>
      <c r="F9" s="3" t="inlineStr">
        <is>
          <t>Medium</t>
        </is>
      </c>
      <c r="G9" s="3" t="inlineStr">
        <is>
          <t>High</t>
        </is>
      </c>
    </row>
    <row r="10">
      <c r="A10" s="2" t="n">
        <v>9</v>
      </c>
      <c r="B10" s="2" t="inlineStr">
        <is>
          <t>Cash the Urge</t>
        </is>
      </c>
      <c r="C10" s="2" t="inlineStr">
        <is>
          <t>When urge hits, immediately transfer the amount you would have gambled into a separate savings account.</t>
        </is>
      </c>
      <c r="D10" s="2" t="inlineStr">
        <is>
          <t>Financial</t>
        </is>
      </c>
      <c r="E10" s="2" t="inlineStr">
        <is>
          <t>Transfer would-be-bet money to savings</t>
        </is>
      </c>
      <c r="F10" s="2" t="inlineStr">
        <is>
          <t>Medium</t>
        </is>
      </c>
      <c r="G10" s="2" t="inlineStr">
        <is>
          <t>High</t>
        </is>
      </c>
    </row>
    <row r="11">
      <c r="A11" s="3" t="n">
        <v>10</v>
      </c>
      <c r="B11" s="3" t="inlineStr">
        <is>
          <t>Time Audit Log</t>
        </is>
      </c>
      <c r="C11" s="3" t="inlineStr">
        <is>
          <t>At end of each day log what you did with the time you would have spent gambling. Even 15 min documented.</t>
        </is>
      </c>
      <c r="D11" s="3" t="inlineStr">
        <is>
          <t>Tracking</t>
        </is>
      </c>
      <c r="E11" s="3" t="inlineStr">
        <is>
          <t>Log time reclaimed and activity done</t>
        </is>
      </c>
      <c r="F11" s="3" t="inlineStr">
        <is>
          <t>Easy</t>
        </is>
      </c>
      <c r="G11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22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Bee Feature</t>
        </is>
      </c>
      <c r="D1" s="1" t="inlineStr">
        <is>
          <t>GK Application</t>
        </is>
      </c>
      <c r="E1" s="1" t="inlineStr">
        <is>
          <t>Points</t>
        </is>
      </c>
      <c r="F1" s="1" t="inlineStr">
        <is>
          <t>How It Works</t>
        </is>
      </c>
    </row>
    <row r="2">
      <c r="A2" s="2" t="n">
        <v>1</v>
      </c>
      <c r="B2" s="2" t="inlineStr">
        <is>
          <t>Voice Note Confessionals</t>
        </is>
      </c>
      <c r="C2" s="2" t="inlineStr">
        <is>
          <t>Voice Notes</t>
        </is>
      </c>
      <c r="D2" s="2" t="inlineStr">
        <is>
          <t>Urge Logging</t>
        </is>
      </c>
      <c r="E2" s="2" t="inlineStr">
        <is>
          <t>+5 per urge resisted</t>
        </is>
      </c>
      <c r="F2" s="2" t="inlineStr">
        <is>
          <t>Press Bee button when urge hits. Speak: 'GK Log: urge at [time], intensity [1-10], triggered by [cause].'</t>
        </is>
      </c>
    </row>
    <row r="3">
      <c r="A3" s="3" t="n">
        <v>2</v>
      </c>
      <c r="B3" s="3" t="inlineStr">
        <is>
          <t>Daily Insights Scoreboard</t>
        </is>
      </c>
      <c r="C3" s="3" t="inlineStr">
        <is>
          <t>Daily Insights</t>
        </is>
      </c>
      <c r="D3" s="3" t="inlineStr">
        <is>
          <t>Pattern Tracking</t>
        </is>
      </c>
      <c r="E3" s="3" t="inlineStr">
        <is>
          <t>+10 per week trend drops</t>
        </is>
      </c>
      <c r="F3" s="3" t="inlineStr">
        <is>
          <t>Bee surfaces emotional patterns. Track how often gambling-related language appears. Declining frequency = GK momentum proof.</t>
        </is>
      </c>
    </row>
    <row r="4">
      <c r="A4" s="2" t="n">
        <v>3</v>
      </c>
      <c r="B4" s="2" t="inlineStr">
        <is>
          <t>Accountability Auto-Summary</t>
        </is>
      </c>
      <c r="C4" s="2" t="inlineStr">
        <is>
          <t>Conversation Segmentation</t>
        </is>
      </c>
      <c r="D4" s="2" t="inlineStr">
        <is>
          <t>Accountability Records</t>
        </is>
      </c>
      <c r="E4" s="2" t="inlineStr">
        <is>
          <t>+3 per conversation</t>
        </is>
      </c>
      <c r="F4" s="2" t="inlineStr">
        <is>
          <t>Wear Bee during check-ins with accountability partner. Bee auto-summarizes commitments made.</t>
        </is>
      </c>
    </row>
    <row r="5">
      <c r="A5" s="3" t="n">
        <v>4</v>
      </c>
      <c r="B5" s="3" t="inlineStr">
        <is>
          <t>GK Daily Report Template</t>
        </is>
      </c>
      <c r="C5" s="3" t="inlineStr">
        <is>
          <t>Templates</t>
        </is>
      </c>
      <c r="D5" s="3" t="inlineStr">
        <is>
          <t>Daily Scorecard</t>
        </is>
      </c>
      <c r="E5" s="3" t="inlineStr">
        <is>
          <t>N/A (enables scoring)</t>
        </is>
      </c>
      <c r="F5" s="3" t="inlineStr">
        <is>
          <t>Custom 'Gegenkraft Daily Report' template: Urges resisted, Replacement actions, Money saved, GK power level.</t>
        </is>
      </c>
    </row>
    <row r="6">
      <c r="A6" s="2" t="n">
        <v>5</v>
      </c>
      <c r="B6" s="2" t="inlineStr">
        <is>
          <t>Trigger Geo-Fencing</t>
        </is>
      </c>
      <c r="C6" s="2" t="inlineStr">
        <is>
          <t>Geo/Topic Fencing (future)</t>
        </is>
      </c>
      <c r="D6" s="2" t="inlineStr">
        <is>
          <t>Topic Boundaries</t>
        </is>
      </c>
      <c r="E6" s="2" t="inlineStr">
        <is>
          <t>-5 penalty</t>
        </is>
      </c>
      <c r="F6" s="2" t="inlineStr">
        <is>
          <t>Set topic boundaries around gambling language. If gambling topics appear in Bee themes, flag and activate counter-move.</t>
        </is>
      </c>
    </row>
    <row r="7">
      <c r="A7" s="3" t="n">
        <v>6</v>
      </c>
      <c r="B7" s="3" t="inlineStr">
        <is>
          <t>Auto-Save the Bet Money</t>
        </is>
      </c>
      <c r="C7" s="3" t="inlineStr">
        <is>
          <t>Actions (Email/Calendar)</t>
        </is>
      </c>
      <c r="D7" s="3" t="inlineStr">
        <is>
          <t>Financial Redirection</t>
        </is>
      </c>
      <c r="E7" s="3" t="inlineStr">
        <is>
          <t>+1 per dollar redirected</t>
        </is>
      </c>
      <c r="F7" s="3" t="inlineStr">
        <is>
          <t>Say 'I just resisted a $50 bet' and Bee drafts email/reminder to transfer that amount to savings.</t>
        </is>
      </c>
    </row>
    <row r="8">
      <c r="A8" s="2" t="n">
        <v>7</v>
      </c>
      <c r="B8" s="2" t="inlineStr">
        <is>
          <t>GK Boss Battles</t>
        </is>
      </c>
      <c r="C8" s="2" t="inlineStr">
        <is>
          <t>Developer API</t>
        </is>
      </c>
      <c r="D8" s="2" t="inlineStr">
        <is>
          <t>Scoring Engine</t>
        </is>
      </c>
      <c r="E8" s="2" t="inlineStr">
        <is>
          <t>Double points</t>
        </is>
      </c>
      <c r="F8" s="2" t="inlineStr">
        <is>
          <t>API extension pulls daily urge logs, calculates GK Power Score, flags 'boss battle' days (3+ urges), awards double points if survived clean.</t>
        </is>
      </c>
    </row>
    <row r="9">
      <c r="A9" s="3" t="n">
        <v>8</v>
      </c>
      <c r="B9" s="3" t="inlineStr">
        <is>
          <t>Morning Declarations</t>
        </is>
      </c>
      <c r="C9" s="3" t="inlineStr">
        <is>
          <t>Voice Notes</t>
        </is>
      </c>
      <c r="D9" s="3" t="inlineStr">
        <is>
          <t>Daily Intention</t>
        </is>
      </c>
      <c r="E9" s="3" t="inlineStr">
        <is>
          <t>+2 (+streak multiplier)</t>
        </is>
      </c>
      <c r="F9" s="3" t="inlineStr">
        <is>
          <t>Each morning: 'Day X. No gambling today. GK power level: [1-10].' x1.5 after 7 days, x2 after 30.</t>
        </is>
      </c>
    </row>
    <row r="10">
      <c r="A10" s="2" t="n">
        <v>9</v>
      </c>
      <c r="B10" s="2" t="inlineStr">
        <is>
          <t>Relationship Pattern Tracking</t>
        </is>
      </c>
      <c r="C10" s="2" t="inlineStr">
        <is>
          <t>Daily Insights (Relationships)</t>
        </is>
      </c>
      <c r="D10" s="2" t="inlineStr">
        <is>
          <t>Social Change Tracking</t>
        </is>
      </c>
      <c r="E10" s="2" t="inlineStr">
        <is>
          <t>+15 per positive shift</t>
        </is>
      </c>
      <c r="F10" s="2" t="inlineStr">
        <is>
          <t>Bee tracks relationship shifts. Monitor if gambling conversations with friends decrease. Quantified social change.</t>
        </is>
      </c>
    </row>
    <row r="11">
      <c r="A11" s="3" t="n">
        <v>10</v>
      </c>
      <c r="B11" s="3" t="inlineStr">
        <is>
          <t>Weekly GK Retrospective</t>
        </is>
      </c>
      <c r="C11" s="3" t="inlineStr">
        <is>
          <t>Accumulated Summaries</t>
        </is>
      </c>
      <c r="D11" s="3" t="inlineStr">
        <is>
          <t>Weekly Review</t>
        </is>
      </c>
      <c r="E11" s="3" t="inlineStr">
        <is>
          <t>+20 per review</t>
        </is>
      </c>
      <c r="F11" s="3" t="inlineStr">
        <is>
          <t>Review Bee's weekly summaries. Count wins, flag weakest trigger points, set next week's GK targets.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18" customWidth="1" min="4" max="4"/>
  </cols>
  <sheetData>
    <row r="1">
      <c r="A1" s="1" t="inlineStr">
        <is>
          <t>Action</t>
        </is>
      </c>
      <c r="B1" s="1" t="inlineStr">
        <is>
          <t>Points</t>
        </is>
      </c>
      <c r="C1" s="1" t="inlineStr">
        <is>
          <t>Condition</t>
        </is>
      </c>
      <c r="D1" s="1" t="inlineStr">
        <is>
          <t>Category</t>
        </is>
      </c>
    </row>
    <row r="2">
      <c r="A2" s="2" t="inlineStr">
        <is>
          <t>Log an urge resisted (via Bee voice note)</t>
        </is>
      </c>
      <c r="B2" s="2" t="inlineStr">
        <is>
          <t>+5</t>
        </is>
      </c>
      <c r="C2" s="2" t="inlineStr">
        <is>
          <t>Per urge logged and not acted on</t>
        </is>
      </c>
      <c r="D2" s="2" t="inlineStr">
        <is>
          <t>Urge Management</t>
        </is>
      </c>
    </row>
    <row r="3">
      <c r="A3" s="3" t="inlineStr">
        <is>
          <t>Weekly gambling-language trend drops</t>
        </is>
      </c>
      <c r="B3" s="3" t="inlineStr">
        <is>
          <t>+10</t>
        </is>
      </c>
      <c r="C3" s="3" t="inlineStr">
        <is>
          <t>Per week the Bee insights trend line declines</t>
        </is>
      </c>
      <c r="D3" s="3" t="inlineStr">
        <is>
          <t>Pattern Tracking</t>
        </is>
      </c>
    </row>
    <row r="4">
      <c r="A4" s="2" t="inlineStr">
        <is>
          <t>Accountability conversation captured</t>
        </is>
      </c>
      <c r="B4" s="2" t="inlineStr">
        <is>
          <t>+3</t>
        </is>
      </c>
      <c r="C4" s="2" t="inlineStr">
        <is>
          <t>Per conversation recorded via Bee</t>
        </is>
      </c>
      <c r="D4" s="2" t="inlineStr">
        <is>
          <t>Social</t>
        </is>
      </c>
    </row>
    <row r="5">
      <c r="A5" s="3" t="inlineStr">
        <is>
          <t>Dollar redirected to savings</t>
        </is>
      </c>
      <c r="B5" s="3" t="inlineStr">
        <is>
          <t>+1</t>
        </is>
      </c>
      <c r="C5" s="3" t="inlineStr">
        <is>
          <t>Per dollar transferred instead of gambled</t>
        </is>
      </c>
      <c r="D5" s="3" t="inlineStr">
        <is>
          <t>Financial</t>
        </is>
      </c>
    </row>
    <row r="6">
      <c r="A6" s="2" t="inlineStr">
        <is>
          <t>Morning GK declaration</t>
        </is>
      </c>
      <c r="B6" s="2" t="inlineStr">
        <is>
          <t>+2</t>
        </is>
      </c>
      <c r="C6" s="2" t="inlineStr">
        <is>
          <t>Per morning declaration via Bee voice note</t>
        </is>
      </c>
      <c r="D6" s="2" t="inlineStr">
        <is>
          <t>Intention Setting</t>
        </is>
      </c>
    </row>
    <row r="7">
      <c r="A7" s="3" t="inlineStr">
        <is>
          <t>Morning declaration streak (7+ days)</t>
        </is>
      </c>
      <c r="B7" s="3" t="inlineStr">
        <is>
          <t>x1.5</t>
        </is>
      </c>
      <c r="C7" s="3" t="inlineStr">
        <is>
          <t>Multiplier applied to morning declaration points</t>
        </is>
      </c>
      <c r="D7" s="3" t="inlineStr">
        <is>
          <t>Streak Bonus</t>
        </is>
      </c>
    </row>
    <row r="8">
      <c r="A8" s="2" t="inlineStr">
        <is>
          <t>Morning declaration streak (30+ days)</t>
        </is>
      </c>
      <c r="B8" s="2" t="inlineStr">
        <is>
          <t>x2.0</t>
        </is>
      </c>
      <c r="C8" s="2" t="inlineStr">
        <is>
          <t>Multiplier applied to morning declaration points</t>
        </is>
      </c>
      <c r="D8" s="2" t="inlineStr">
        <is>
          <t>Streak Bonus</t>
        </is>
      </c>
    </row>
    <row r="9">
      <c r="A9" s="3" t="inlineStr">
        <is>
          <t>Positive relationship shift flagged by Bee</t>
        </is>
      </c>
      <c r="B9" s="3" t="inlineStr">
        <is>
          <t>+15</t>
        </is>
      </c>
      <c r="C9" s="3" t="inlineStr">
        <is>
          <t>When Bee surfaces declining gambling social patterns</t>
        </is>
      </c>
      <c r="D9" s="3" t="inlineStr">
        <is>
          <t>Social</t>
        </is>
      </c>
    </row>
    <row r="10">
      <c r="A10" s="2" t="inlineStr">
        <is>
          <t>Weekly GK retrospective completed</t>
        </is>
      </c>
      <c r="B10" s="2" t="inlineStr">
        <is>
          <t>+20</t>
        </is>
      </c>
      <c r="C10" s="2" t="inlineStr">
        <is>
          <t>Per completed weekly review of Bee summaries</t>
        </is>
      </c>
      <c r="D10" s="2" t="inlineStr">
        <is>
          <t>Review</t>
        </is>
      </c>
    </row>
    <row r="11">
      <c r="A11" s="3" t="inlineStr">
        <is>
          <t>Boss battle survived (3+ urges in one day)</t>
        </is>
      </c>
      <c r="B11" s="3" t="inlineStr">
        <is>
          <t>x2.0</t>
        </is>
      </c>
      <c r="C11" s="3" t="inlineStr">
        <is>
          <t>Double points for all actions that day</t>
        </is>
      </c>
      <c r="D11" s="3" t="inlineStr">
        <is>
          <t>Boss Battle</t>
        </is>
      </c>
    </row>
    <row r="12">
      <c r="A12" s="2" t="inlineStr">
        <is>
          <t>Gambling topics appear in Bee themes</t>
        </is>
      </c>
      <c r="B12" s="2" t="inlineStr">
        <is>
          <t>-5</t>
        </is>
      </c>
      <c r="C12" s="2" t="inlineStr">
        <is>
          <t>Penalty per occurrence</t>
        </is>
      </c>
      <c r="D12" s="2" t="inlineStr">
        <is>
          <t>Penalty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50" customWidth="1" min="4" max="4"/>
  </cols>
  <sheetData>
    <row r="1">
      <c r="A1" s="1" t="inlineStr">
        <is>
          <t>Level</t>
        </is>
      </c>
      <c r="B1" s="1" t="inlineStr">
        <is>
          <t>GK Points Required</t>
        </is>
      </c>
      <c r="C1" s="1" t="inlineStr">
        <is>
          <t>Title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0–50</t>
        </is>
      </c>
      <c r="C2" s="4" t="inlineStr">
        <is>
          <t>Recruit</t>
        </is>
      </c>
      <c r="D2" s="2" t="inlineStr">
        <is>
          <t>Just starting the fight. Building awareness and first defenses.</t>
        </is>
      </c>
    </row>
    <row r="3">
      <c r="A3" s="3" t="n">
        <v>2</v>
      </c>
      <c r="B3" s="3" t="inlineStr">
        <is>
          <t>51–150</t>
        </is>
      </c>
      <c r="C3" s="5" t="inlineStr">
        <is>
          <t>Resister</t>
        </is>
      </c>
      <c r="D3" s="3" t="inlineStr">
        <is>
          <t>Actively resisting urges. Habits are being challenged daily.</t>
        </is>
      </c>
    </row>
    <row r="4">
      <c r="A4" s="2" t="n">
        <v>3</v>
      </c>
      <c r="B4" s="2" t="inlineStr">
        <is>
          <t>151–300</t>
        </is>
      </c>
      <c r="C4" s="6" t="inlineStr">
        <is>
          <t>Disruptor</t>
        </is>
      </c>
      <c r="D4" s="2" t="inlineStr">
        <is>
          <t>Disrupting the pattern. Replacement behaviors are taking hold.</t>
        </is>
      </c>
    </row>
    <row r="5">
      <c r="A5" s="3" t="n">
        <v>4</v>
      </c>
      <c r="B5" s="3" t="inlineStr">
        <is>
          <t>301–500</t>
        </is>
      </c>
      <c r="C5" s="7" t="inlineStr">
        <is>
          <t>Saboteur</t>
        </is>
      </c>
      <c r="D5" s="3" t="inlineStr">
        <is>
          <t>Sabotaging the old habit loop. Momentum is shifting.</t>
        </is>
      </c>
    </row>
    <row r="6">
      <c r="A6" s="2" t="n">
        <v>5</v>
      </c>
      <c r="B6" s="2" t="inlineStr">
        <is>
          <t>501–750</t>
        </is>
      </c>
      <c r="C6" s="8" t="inlineStr">
        <is>
          <t>Breaker</t>
        </is>
      </c>
      <c r="D6" s="2" t="inlineStr">
        <is>
          <t>The habit's grip is breaking. New identity forming.</t>
        </is>
      </c>
    </row>
    <row r="7">
      <c r="A7" s="3" t="n">
        <v>6</v>
      </c>
      <c r="B7" s="3" t="inlineStr">
        <is>
          <t>751+</t>
        </is>
      </c>
      <c r="C7" s="9" t="inlineStr">
        <is>
          <t>Gegenkraft Master</t>
        </is>
      </c>
      <c r="D7" s="3" t="inlineStr">
        <is>
          <t>Full opposing power achieved. The habit has lost its 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0" customWidth="1" min="4" max="4"/>
    <col width="13" customWidth="1" min="5" max="5"/>
    <col width="15" customWidth="1" min="6" max="6"/>
    <col width="11" customWidth="1" min="7" max="7"/>
    <col width="15" customWidth="1" min="8" max="8"/>
    <col width="16" customWidth="1" min="9" max="9"/>
    <col width="13" customWidth="1" min="10" max="10"/>
    <col width="12" customWidth="1" min="11" max="11"/>
    <col width="13" customWidth="1" min="12" max="12"/>
    <col width="18" customWidth="1" min="13" max="13"/>
    <col width="30" customWidth="1" min="14" max="14"/>
  </cols>
  <sheetData>
    <row r="1" ht="35" customHeight="1">
      <c r="A1" s="1" t="inlineStr">
        <is>
          <t>Date</t>
        </is>
      </c>
      <c r="B1" s="1" t="inlineStr">
        <is>
          <t>Day #</t>
        </is>
      </c>
      <c r="C1" s="1" t="inlineStr">
        <is>
          <t>Morning Declaration
(Y/N)</t>
        </is>
      </c>
      <c r="D1" s="1" t="inlineStr">
        <is>
          <t>Urges
Resisted</t>
        </is>
      </c>
      <c r="E1" s="1" t="inlineStr">
        <is>
          <t>Urge Intensity
(avg 1-10)</t>
        </is>
      </c>
      <c r="F1" s="1" t="inlineStr">
        <is>
          <t>Replacement
Actions Taken</t>
        </is>
      </c>
      <c r="G1" s="1" t="inlineStr">
        <is>
          <t>Money
Saved ($)</t>
        </is>
      </c>
      <c r="H1" s="1" t="inlineStr">
        <is>
          <t>Accountability
Ping (Y/N)</t>
        </is>
      </c>
      <c r="I1" s="1" t="inlineStr">
        <is>
          <t>Bee Conversations
Captured</t>
        </is>
      </c>
      <c r="J1" s="1" t="inlineStr">
        <is>
          <t>Boss Battle
Day (Y/N)</t>
        </is>
      </c>
      <c r="K1" s="1" t="inlineStr">
        <is>
          <t>GK Points
Earned</t>
        </is>
      </c>
      <c r="L1" s="1" t="inlineStr">
        <is>
          <t>Cumulative
Points</t>
        </is>
      </c>
      <c r="M1" s="1" t="inlineStr">
        <is>
          <t>GK Level</t>
        </is>
      </c>
      <c r="N1" s="1" t="inlineStr">
        <is>
          <t>Notes</t>
        </is>
      </c>
    </row>
    <row r="2">
      <c r="A2" s="2" t="inlineStr">
        <is>
          <t>2026-03-30</t>
        </is>
      </c>
      <c r="B2" s="10" t="n">
        <v>1</v>
      </c>
      <c r="C2" s="10" t="n"/>
      <c r="D2" s="10" t="n"/>
      <c r="E2" s="10" t="n"/>
      <c r="F2" s="2" t="n"/>
      <c r="G2" s="2" t="n"/>
      <c r="H2" s="10" t="n"/>
      <c r="I2" s="2" t="n"/>
      <c r="J2" s="10" t="n"/>
      <c r="K2" s="2" t="n"/>
      <c r="L2" s="2">
        <f>K2</f>
        <v/>
      </c>
      <c r="M2" s="11">
        <f>IF(L2&gt;=751,"Gegenkraft Master",IF(L2&gt;=501,"Breaker",IF(L2&gt;=301,"Saboteur",IF(L2&gt;=151,"Disruptor",IF(L2&gt;=51,"Resister","Recruit")))))</f>
        <v/>
      </c>
      <c r="N2" s="2" t="n"/>
    </row>
    <row r="3">
      <c r="A3" s="3" t="inlineStr">
        <is>
          <t>2026-03-31</t>
        </is>
      </c>
      <c r="B3" s="12" t="n">
        <v>2</v>
      </c>
      <c r="C3" s="12" t="n"/>
      <c r="D3" s="12" t="n"/>
      <c r="E3" s="12" t="n"/>
      <c r="F3" s="3" t="n"/>
      <c r="G3" s="3" t="n"/>
      <c r="H3" s="12" t="n"/>
      <c r="I3" s="3" t="n"/>
      <c r="J3" s="12" t="n"/>
      <c r="K3" s="3" t="n"/>
      <c r="L3" s="3">
        <f>L2+K3</f>
        <v/>
      </c>
      <c r="M3" s="13">
        <f>IF(L3&gt;=751,"Gegenkraft Master",IF(L3&gt;=501,"Breaker",IF(L3&gt;=301,"Saboteur",IF(L3&gt;=151,"Disruptor",IF(L3&gt;=51,"Resister","Recruit")))))</f>
        <v/>
      </c>
      <c r="N3" s="3" t="n"/>
    </row>
    <row r="4">
      <c r="A4" s="2" t="inlineStr">
        <is>
          <t>2026-04-01</t>
        </is>
      </c>
      <c r="B4" s="10" t="n">
        <v>3</v>
      </c>
      <c r="C4" s="10" t="n"/>
      <c r="D4" s="10" t="n"/>
      <c r="E4" s="10" t="n"/>
      <c r="F4" s="2" t="n"/>
      <c r="G4" s="2" t="n"/>
      <c r="H4" s="10" t="n"/>
      <c r="I4" s="2" t="n"/>
      <c r="J4" s="10" t="n"/>
      <c r="K4" s="2" t="n"/>
      <c r="L4" s="2">
        <f>L3+K4</f>
        <v/>
      </c>
      <c r="M4" s="11">
        <f>IF(L4&gt;=751,"Gegenkraft Master",IF(L4&gt;=501,"Breaker",IF(L4&gt;=301,"Saboteur",IF(L4&gt;=151,"Disruptor",IF(L4&gt;=51,"Resister","Recruit")))))</f>
        <v/>
      </c>
      <c r="N4" s="2" t="n"/>
    </row>
    <row r="5">
      <c r="A5" s="3" t="inlineStr">
        <is>
          <t>2026-04-02</t>
        </is>
      </c>
      <c r="B5" s="12" t="n">
        <v>4</v>
      </c>
      <c r="C5" s="12" t="n"/>
      <c r="D5" s="12" t="n"/>
      <c r="E5" s="12" t="n"/>
      <c r="F5" s="3" t="n"/>
      <c r="G5" s="3" t="n"/>
      <c r="H5" s="12" t="n"/>
      <c r="I5" s="3" t="n"/>
      <c r="J5" s="12" t="n"/>
      <c r="K5" s="3" t="n"/>
      <c r="L5" s="3">
        <f>L4+K5</f>
        <v/>
      </c>
      <c r="M5" s="13">
        <f>IF(L5&gt;=751,"Gegenkraft Master",IF(L5&gt;=501,"Breaker",IF(L5&gt;=301,"Saboteur",IF(L5&gt;=151,"Disruptor",IF(L5&gt;=51,"Resister","Recruit")))))</f>
        <v/>
      </c>
      <c r="N5" s="3" t="n"/>
    </row>
    <row r="6">
      <c r="A6" s="2" t="inlineStr">
        <is>
          <t>2026-04-03</t>
        </is>
      </c>
      <c r="B6" s="10" t="n">
        <v>5</v>
      </c>
      <c r="C6" s="10" t="n"/>
      <c r="D6" s="10" t="n"/>
      <c r="E6" s="10" t="n"/>
      <c r="F6" s="2" t="n"/>
      <c r="G6" s="2" t="n"/>
      <c r="H6" s="10" t="n"/>
      <c r="I6" s="2" t="n"/>
      <c r="J6" s="10" t="n"/>
      <c r="K6" s="2" t="n"/>
      <c r="L6" s="2">
        <f>L5+K6</f>
        <v/>
      </c>
      <c r="M6" s="11">
        <f>IF(L6&gt;=751,"Gegenkraft Master",IF(L6&gt;=501,"Breaker",IF(L6&gt;=301,"Saboteur",IF(L6&gt;=151,"Disruptor",IF(L6&gt;=51,"Resister","Recruit")))))</f>
        <v/>
      </c>
      <c r="N6" s="2" t="n"/>
    </row>
    <row r="7">
      <c r="A7" s="3" t="inlineStr">
        <is>
          <t>2026-04-04</t>
        </is>
      </c>
      <c r="B7" s="12" t="n">
        <v>6</v>
      </c>
      <c r="C7" s="12" t="n"/>
      <c r="D7" s="12" t="n"/>
      <c r="E7" s="12" t="n"/>
      <c r="F7" s="3" t="n"/>
      <c r="G7" s="3" t="n"/>
      <c r="H7" s="12" t="n"/>
      <c r="I7" s="3" t="n"/>
      <c r="J7" s="12" t="n"/>
      <c r="K7" s="3" t="n"/>
      <c r="L7" s="3">
        <f>L6+K7</f>
        <v/>
      </c>
      <c r="M7" s="13">
        <f>IF(L7&gt;=751,"Gegenkraft Master",IF(L7&gt;=501,"Breaker",IF(L7&gt;=301,"Saboteur",IF(L7&gt;=151,"Disruptor",IF(L7&gt;=51,"Resister","Recruit")))))</f>
        <v/>
      </c>
      <c r="N7" s="3" t="n"/>
    </row>
    <row r="8">
      <c r="A8" s="2" t="inlineStr">
        <is>
          <t>2026-04-05</t>
        </is>
      </c>
      <c r="B8" s="10" t="n">
        <v>7</v>
      </c>
      <c r="C8" s="10" t="n"/>
      <c r="D8" s="10" t="n"/>
      <c r="E8" s="10" t="n"/>
      <c r="F8" s="2" t="n"/>
      <c r="G8" s="2" t="n"/>
      <c r="H8" s="10" t="n"/>
      <c r="I8" s="2" t="n"/>
      <c r="J8" s="10" t="n"/>
      <c r="K8" s="2" t="n"/>
      <c r="L8" s="2">
        <f>L7+K8</f>
        <v/>
      </c>
      <c r="M8" s="11">
        <f>IF(L8&gt;=751,"Gegenkraft Master",IF(L8&gt;=501,"Breaker",IF(L8&gt;=301,"Saboteur",IF(L8&gt;=151,"Disruptor",IF(L8&gt;=51,"Resister","Recruit")))))</f>
        <v/>
      </c>
      <c r="N8" s="2" t="n"/>
    </row>
    <row r="9">
      <c r="A9" s="3" t="inlineStr">
        <is>
          <t>2026-04-06</t>
        </is>
      </c>
      <c r="B9" s="12" t="n">
        <v>8</v>
      </c>
      <c r="C9" s="12" t="n"/>
      <c r="D9" s="12" t="n"/>
      <c r="E9" s="12" t="n"/>
      <c r="F9" s="3" t="n"/>
      <c r="G9" s="3" t="n"/>
      <c r="H9" s="12" t="n"/>
      <c r="I9" s="3" t="n"/>
      <c r="J9" s="12" t="n"/>
      <c r="K9" s="3" t="n"/>
      <c r="L9" s="3">
        <f>L8+K9</f>
        <v/>
      </c>
      <c r="M9" s="13">
        <f>IF(L9&gt;=751,"Gegenkraft Master",IF(L9&gt;=501,"Breaker",IF(L9&gt;=301,"Saboteur",IF(L9&gt;=151,"Disruptor",IF(L9&gt;=51,"Resister","Recruit")))))</f>
        <v/>
      </c>
      <c r="N9" s="3" t="n"/>
    </row>
    <row r="10">
      <c r="A10" s="2" t="inlineStr">
        <is>
          <t>2026-04-07</t>
        </is>
      </c>
      <c r="B10" s="10" t="n">
        <v>9</v>
      </c>
      <c r="C10" s="10" t="n"/>
      <c r="D10" s="10" t="n"/>
      <c r="E10" s="10" t="n"/>
      <c r="F10" s="2" t="n"/>
      <c r="G10" s="2" t="n"/>
      <c r="H10" s="10" t="n"/>
      <c r="I10" s="2" t="n"/>
      <c r="J10" s="10" t="n"/>
      <c r="K10" s="2" t="n"/>
      <c r="L10" s="2">
        <f>L9+K10</f>
        <v/>
      </c>
      <c r="M10" s="11">
        <f>IF(L10&gt;=751,"Gegenkraft Master",IF(L10&gt;=501,"Breaker",IF(L10&gt;=301,"Saboteur",IF(L10&gt;=151,"Disruptor",IF(L10&gt;=51,"Resister","Recruit")))))</f>
        <v/>
      </c>
      <c r="N10" s="2" t="n"/>
    </row>
    <row r="11">
      <c r="A11" s="3" t="inlineStr">
        <is>
          <t>2026-04-08</t>
        </is>
      </c>
      <c r="B11" s="12" t="n">
        <v>10</v>
      </c>
      <c r="C11" s="12" t="n"/>
      <c r="D11" s="12" t="n"/>
      <c r="E11" s="12" t="n"/>
      <c r="F11" s="3" t="n"/>
      <c r="G11" s="3" t="n"/>
      <c r="H11" s="12" t="n"/>
      <c r="I11" s="3" t="n"/>
      <c r="J11" s="12" t="n"/>
      <c r="K11" s="3" t="n"/>
      <c r="L11" s="3">
        <f>L10+K11</f>
        <v/>
      </c>
      <c r="M11" s="13">
        <f>IF(L11&gt;=751,"Gegenkraft Master",IF(L11&gt;=501,"Breaker",IF(L11&gt;=301,"Saboteur",IF(L11&gt;=151,"Disruptor",IF(L11&gt;=51,"Resister","Recruit")))))</f>
        <v/>
      </c>
      <c r="N11" s="3" t="n"/>
    </row>
    <row r="12">
      <c r="A12" s="2" t="inlineStr">
        <is>
          <t>2026-04-09</t>
        </is>
      </c>
      <c r="B12" s="10" t="n">
        <v>11</v>
      </c>
      <c r="C12" s="10" t="n"/>
      <c r="D12" s="10" t="n"/>
      <c r="E12" s="10" t="n"/>
      <c r="F12" s="2" t="n"/>
      <c r="G12" s="2" t="n"/>
      <c r="H12" s="10" t="n"/>
      <c r="I12" s="2" t="n"/>
      <c r="J12" s="10" t="n"/>
      <c r="K12" s="2" t="n"/>
      <c r="L12" s="2">
        <f>L11+K12</f>
        <v/>
      </c>
      <c r="M12" s="11">
        <f>IF(L12&gt;=751,"Gegenkraft Master",IF(L12&gt;=501,"Breaker",IF(L12&gt;=301,"Saboteur",IF(L12&gt;=151,"Disruptor",IF(L12&gt;=51,"Resister","Recruit")))))</f>
        <v/>
      </c>
      <c r="N12" s="2" t="n"/>
    </row>
    <row r="13">
      <c r="A13" s="3" t="inlineStr">
        <is>
          <t>2026-04-10</t>
        </is>
      </c>
      <c r="B13" s="12" t="n">
        <v>12</v>
      </c>
      <c r="C13" s="12" t="n"/>
      <c r="D13" s="12" t="n"/>
      <c r="E13" s="12" t="n"/>
      <c r="F13" s="3" t="n"/>
      <c r="G13" s="3" t="n"/>
      <c r="H13" s="12" t="n"/>
      <c r="I13" s="3" t="n"/>
      <c r="J13" s="12" t="n"/>
      <c r="K13" s="3" t="n"/>
      <c r="L13" s="3">
        <f>L12+K13</f>
        <v/>
      </c>
      <c r="M13" s="13">
        <f>IF(L13&gt;=751,"Gegenkraft Master",IF(L13&gt;=501,"Breaker",IF(L13&gt;=301,"Saboteur",IF(L13&gt;=151,"Disruptor",IF(L13&gt;=51,"Resister","Recruit")))))</f>
        <v/>
      </c>
      <c r="N13" s="3" t="n"/>
    </row>
    <row r="14">
      <c r="A14" s="2" t="inlineStr">
        <is>
          <t>2026-04-11</t>
        </is>
      </c>
      <c r="B14" s="10" t="n">
        <v>13</v>
      </c>
      <c r="C14" s="10" t="n"/>
      <c r="D14" s="10" t="n"/>
      <c r="E14" s="10" t="n"/>
      <c r="F14" s="2" t="n"/>
      <c r="G14" s="2" t="n"/>
      <c r="H14" s="10" t="n"/>
      <c r="I14" s="2" t="n"/>
      <c r="J14" s="10" t="n"/>
      <c r="K14" s="2" t="n"/>
      <c r="L14" s="2">
        <f>L13+K14</f>
        <v/>
      </c>
      <c r="M14" s="11">
        <f>IF(L14&gt;=751,"Gegenkraft Master",IF(L14&gt;=501,"Breaker",IF(L14&gt;=301,"Saboteur",IF(L14&gt;=151,"Disruptor",IF(L14&gt;=51,"Resister","Recruit")))))</f>
        <v/>
      </c>
      <c r="N14" s="2" t="n"/>
    </row>
    <row r="15">
      <c r="A15" s="3" t="inlineStr">
        <is>
          <t>2026-04-12</t>
        </is>
      </c>
      <c r="B15" s="12" t="n">
        <v>14</v>
      </c>
      <c r="C15" s="12" t="n"/>
      <c r="D15" s="12" t="n"/>
      <c r="E15" s="12" t="n"/>
      <c r="F15" s="3" t="n"/>
      <c r="G15" s="3" t="n"/>
      <c r="H15" s="12" t="n"/>
      <c r="I15" s="3" t="n"/>
      <c r="J15" s="12" t="n"/>
      <c r="K15" s="3" t="n"/>
      <c r="L15" s="3">
        <f>L14+K15</f>
        <v/>
      </c>
      <c r="M15" s="13">
        <f>IF(L15&gt;=751,"Gegenkraft Master",IF(L15&gt;=501,"Breaker",IF(L15&gt;=301,"Saboteur",IF(L15&gt;=151,"Disruptor",IF(L15&gt;=51,"Resister","Recruit")))))</f>
        <v/>
      </c>
      <c r="N15" s="3" t="n"/>
    </row>
    <row r="16">
      <c r="A16" s="2" t="inlineStr">
        <is>
          <t>2026-04-13</t>
        </is>
      </c>
      <c r="B16" s="10" t="n">
        <v>15</v>
      </c>
      <c r="C16" s="10" t="n"/>
      <c r="D16" s="10" t="n"/>
      <c r="E16" s="10" t="n"/>
      <c r="F16" s="2" t="n"/>
      <c r="G16" s="2" t="n"/>
      <c r="H16" s="10" t="n"/>
      <c r="I16" s="2" t="n"/>
      <c r="J16" s="10" t="n"/>
      <c r="K16" s="2" t="n"/>
      <c r="L16" s="2">
        <f>L15+K16</f>
        <v/>
      </c>
      <c r="M16" s="11">
        <f>IF(L16&gt;=751,"Gegenkraft Master",IF(L16&gt;=501,"Breaker",IF(L16&gt;=301,"Saboteur",IF(L16&gt;=151,"Disruptor",IF(L16&gt;=51,"Resister","Recruit")))))</f>
        <v/>
      </c>
      <c r="N16" s="2" t="n"/>
    </row>
    <row r="17">
      <c r="A17" s="3" t="inlineStr">
        <is>
          <t>2026-04-14</t>
        </is>
      </c>
      <c r="B17" s="12" t="n">
        <v>16</v>
      </c>
      <c r="C17" s="12" t="n"/>
      <c r="D17" s="12" t="n"/>
      <c r="E17" s="12" t="n"/>
      <c r="F17" s="3" t="n"/>
      <c r="G17" s="3" t="n"/>
      <c r="H17" s="12" t="n"/>
      <c r="I17" s="3" t="n"/>
      <c r="J17" s="12" t="n"/>
      <c r="K17" s="3" t="n"/>
      <c r="L17" s="3">
        <f>L16+K17</f>
        <v/>
      </c>
      <c r="M17" s="13">
        <f>IF(L17&gt;=751,"Gegenkraft Master",IF(L17&gt;=501,"Breaker",IF(L17&gt;=301,"Saboteur",IF(L17&gt;=151,"Disruptor",IF(L17&gt;=51,"Resister","Recruit")))))</f>
        <v/>
      </c>
      <c r="N17" s="3" t="n"/>
    </row>
    <row r="18">
      <c r="A18" s="2" t="inlineStr">
        <is>
          <t>2026-04-15</t>
        </is>
      </c>
      <c r="B18" s="10" t="n">
        <v>17</v>
      </c>
      <c r="C18" s="10" t="n"/>
      <c r="D18" s="10" t="n"/>
      <c r="E18" s="10" t="n"/>
      <c r="F18" s="2" t="n"/>
      <c r="G18" s="2" t="n"/>
      <c r="H18" s="10" t="n"/>
      <c r="I18" s="2" t="n"/>
      <c r="J18" s="10" t="n"/>
      <c r="K18" s="2" t="n"/>
      <c r="L18" s="2">
        <f>L17+K18</f>
        <v/>
      </c>
      <c r="M18" s="11">
        <f>IF(L18&gt;=751,"Gegenkraft Master",IF(L18&gt;=501,"Breaker",IF(L18&gt;=301,"Saboteur",IF(L18&gt;=151,"Disruptor",IF(L18&gt;=51,"Resister","Recruit")))))</f>
        <v/>
      </c>
      <c r="N18" s="2" t="n"/>
    </row>
    <row r="19">
      <c r="A19" s="3" t="inlineStr">
        <is>
          <t>2026-04-16</t>
        </is>
      </c>
      <c r="B19" s="12" t="n">
        <v>18</v>
      </c>
      <c r="C19" s="12" t="n"/>
      <c r="D19" s="12" t="n"/>
      <c r="E19" s="12" t="n"/>
      <c r="F19" s="3" t="n"/>
      <c r="G19" s="3" t="n"/>
      <c r="H19" s="12" t="n"/>
      <c r="I19" s="3" t="n"/>
      <c r="J19" s="12" t="n"/>
      <c r="K19" s="3" t="n"/>
      <c r="L19" s="3">
        <f>L18+K19</f>
        <v/>
      </c>
      <c r="M19" s="13">
        <f>IF(L19&gt;=751,"Gegenkraft Master",IF(L19&gt;=501,"Breaker",IF(L19&gt;=301,"Saboteur",IF(L19&gt;=151,"Disruptor",IF(L19&gt;=51,"Resister","Recruit")))))</f>
        <v/>
      </c>
      <c r="N19" s="3" t="n"/>
    </row>
    <row r="20">
      <c r="A20" s="2" t="inlineStr">
        <is>
          <t>2026-04-17</t>
        </is>
      </c>
      <c r="B20" s="10" t="n">
        <v>19</v>
      </c>
      <c r="C20" s="10" t="n"/>
      <c r="D20" s="10" t="n"/>
      <c r="E20" s="10" t="n"/>
      <c r="F20" s="2" t="n"/>
      <c r="G20" s="2" t="n"/>
      <c r="H20" s="10" t="n"/>
      <c r="I20" s="2" t="n"/>
      <c r="J20" s="10" t="n"/>
      <c r="K20" s="2" t="n"/>
      <c r="L20" s="2">
        <f>L19+K20</f>
        <v/>
      </c>
      <c r="M20" s="11">
        <f>IF(L20&gt;=751,"Gegenkraft Master",IF(L20&gt;=501,"Breaker",IF(L20&gt;=301,"Saboteur",IF(L20&gt;=151,"Disruptor",IF(L20&gt;=51,"Resister","Recruit")))))</f>
        <v/>
      </c>
      <c r="N20" s="2" t="n"/>
    </row>
    <row r="21">
      <c r="A21" s="3" t="inlineStr">
        <is>
          <t>2026-04-18</t>
        </is>
      </c>
      <c r="B21" s="12" t="n">
        <v>20</v>
      </c>
      <c r="C21" s="12" t="n"/>
      <c r="D21" s="12" t="n"/>
      <c r="E21" s="12" t="n"/>
      <c r="F21" s="3" t="n"/>
      <c r="G21" s="3" t="n"/>
      <c r="H21" s="12" t="n"/>
      <c r="I21" s="3" t="n"/>
      <c r="J21" s="12" t="n"/>
      <c r="K21" s="3" t="n"/>
      <c r="L21" s="3">
        <f>L20+K21</f>
        <v/>
      </c>
      <c r="M21" s="13">
        <f>IF(L21&gt;=751,"Gegenkraft Master",IF(L21&gt;=501,"Breaker",IF(L21&gt;=301,"Saboteur",IF(L21&gt;=151,"Disruptor",IF(L21&gt;=51,"Resister","Recruit")))))</f>
        <v/>
      </c>
      <c r="N21" s="3" t="n"/>
    </row>
    <row r="22">
      <c r="A22" s="2" t="inlineStr">
        <is>
          <t>2026-04-19</t>
        </is>
      </c>
      <c r="B22" s="10" t="n">
        <v>21</v>
      </c>
      <c r="C22" s="10" t="n"/>
      <c r="D22" s="10" t="n"/>
      <c r="E22" s="10" t="n"/>
      <c r="F22" s="2" t="n"/>
      <c r="G22" s="2" t="n"/>
      <c r="H22" s="10" t="n"/>
      <c r="I22" s="2" t="n"/>
      <c r="J22" s="10" t="n"/>
      <c r="K22" s="2" t="n"/>
      <c r="L22" s="2">
        <f>L21+K22</f>
        <v/>
      </c>
      <c r="M22" s="11">
        <f>IF(L22&gt;=751,"Gegenkraft Master",IF(L22&gt;=501,"Breaker",IF(L22&gt;=301,"Saboteur",IF(L22&gt;=151,"Disruptor",IF(L22&gt;=51,"Resister","Recruit")))))</f>
        <v/>
      </c>
      <c r="N22" s="2" t="n"/>
    </row>
    <row r="23">
      <c r="A23" s="3" t="inlineStr">
        <is>
          <t>2026-04-20</t>
        </is>
      </c>
      <c r="B23" s="12" t="n">
        <v>22</v>
      </c>
      <c r="C23" s="12" t="n"/>
      <c r="D23" s="12" t="n"/>
      <c r="E23" s="12" t="n"/>
      <c r="F23" s="3" t="n"/>
      <c r="G23" s="3" t="n"/>
      <c r="H23" s="12" t="n"/>
      <c r="I23" s="3" t="n"/>
      <c r="J23" s="12" t="n"/>
      <c r="K23" s="3" t="n"/>
      <c r="L23" s="3">
        <f>L22+K23</f>
        <v/>
      </c>
      <c r="M23" s="13">
        <f>IF(L23&gt;=751,"Gegenkraft Master",IF(L23&gt;=501,"Breaker",IF(L23&gt;=301,"Saboteur",IF(L23&gt;=151,"Disruptor",IF(L23&gt;=51,"Resister","Recruit")))))</f>
        <v/>
      </c>
      <c r="N23" s="3" t="n"/>
    </row>
    <row r="24">
      <c r="A24" s="2" t="inlineStr">
        <is>
          <t>2026-04-21</t>
        </is>
      </c>
      <c r="B24" s="10" t="n">
        <v>23</v>
      </c>
      <c r="C24" s="10" t="n"/>
      <c r="D24" s="10" t="n"/>
      <c r="E24" s="10" t="n"/>
      <c r="F24" s="2" t="n"/>
      <c r="G24" s="2" t="n"/>
      <c r="H24" s="10" t="n"/>
      <c r="I24" s="2" t="n"/>
      <c r="J24" s="10" t="n"/>
      <c r="K24" s="2" t="n"/>
      <c r="L24" s="2">
        <f>L23+K24</f>
        <v/>
      </c>
      <c r="M24" s="11">
        <f>IF(L24&gt;=751,"Gegenkraft Master",IF(L24&gt;=501,"Breaker",IF(L24&gt;=301,"Saboteur",IF(L24&gt;=151,"Disruptor",IF(L24&gt;=51,"Resister","Recruit")))))</f>
        <v/>
      </c>
      <c r="N24" s="2" t="n"/>
    </row>
    <row r="25">
      <c r="A25" s="3" t="inlineStr">
        <is>
          <t>2026-04-22</t>
        </is>
      </c>
      <c r="B25" s="12" t="n">
        <v>24</v>
      </c>
      <c r="C25" s="12" t="n"/>
      <c r="D25" s="12" t="n"/>
      <c r="E25" s="12" t="n"/>
      <c r="F25" s="3" t="n"/>
      <c r="G25" s="3" t="n"/>
      <c r="H25" s="12" t="n"/>
      <c r="I25" s="3" t="n"/>
      <c r="J25" s="12" t="n"/>
      <c r="K25" s="3" t="n"/>
      <c r="L25" s="3">
        <f>L24+K25</f>
        <v/>
      </c>
      <c r="M25" s="13">
        <f>IF(L25&gt;=751,"Gegenkraft Master",IF(L25&gt;=501,"Breaker",IF(L25&gt;=301,"Saboteur",IF(L25&gt;=151,"Disruptor",IF(L25&gt;=51,"Resister","Recruit")))))</f>
        <v/>
      </c>
      <c r="N25" s="3" t="n"/>
    </row>
    <row r="26">
      <c r="A26" s="2" t="inlineStr">
        <is>
          <t>2026-04-23</t>
        </is>
      </c>
      <c r="B26" s="10" t="n">
        <v>25</v>
      </c>
      <c r="C26" s="10" t="n"/>
      <c r="D26" s="10" t="n"/>
      <c r="E26" s="10" t="n"/>
      <c r="F26" s="2" t="n"/>
      <c r="G26" s="2" t="n"/>
      <c r="H26" s="10" t="n"/>
      <c r="I26" s="2" t="n"/>
      <c r="J26" s="10" t="n"/>
      <c r="K26" s="2" t="n"/>
      <c r="L26" s="2">
        <f>L25+K26</f>
        <v/>
      </c>
      <c r="M26" s="11">
        <f>IF(L26&gt;=751,"Gegenkraft Master",IF(L26&gt;=501,"Breaker",IF(L26&gt;=301,"Saboteur",IF(L26&gt;=151,"Disruptor",IF(L26&gt;=51,"Resister","Recruit")))))</f>
        <v/>
      </c>
      <c r="N26" s="2" t="n"/>
    </row>
    <row r="27">
      <c r="A27" s="3" t="inlineStr">
        <is>
          <t>2026-04-24</t>
        </is>
      </c>
      <c r="B27" s="12" t="n">
        <v>26</v>
      </c>
      <c r="C27" s="12" t="n"/>
      <c r="D27" s="12" t="n"/>
      <c r="E27" s="12" t="n"/>
      <c r="F27" s="3" t="n"/>
      <c r="G27" s="3" t="n"/>
      <c r="H27" s="12" t="n"/>
      <c r="I27" s="3" t="n"/>
      <c r="J27" s="12" t="n"/>
      <c r="K27" s="3" t="n"/>
      <c r="L27" s="3">
        <f>L26+K27</f>
        <v/>
      </c>
      <c r="M27" s="13">
        <f>IF(L27&gt;=751,"Gegenkraft Master",IF(L27&gt;=501,"Breaker",IF(L27&gt;=301,"Saboteur",IF(L27&gt;=151,"Disruptor",IF(L27&gt;=51,"Resister","Recruit")))))</f>
        <v/>
      </c>
      <c r="N27" s="3" t="n"/>
    </row>
    <row r="28">
      <c r="A28" s="2" t="inlineStr">
        <is>
          <t>2026-04-25</t>
        </is>
      </c>
      <c r="B28" s="10" t="n">
        <v>27</v>
      </c>
      <c r="C28" s="10" t="n"/>
      <c r="D28" s="10" t="n"/>
      <c r="E28" s="10" t="n"/>
      <c r="F28" s="2" t="n"/>
      <c r="G28" s="2" t="n"/>
      <c r="H28" s="10" t="n"/>
      <c r="I28" s="2" t="n"/>
      <c r="J28" s="10" t="n"/>
      <c r="K28" s="2" t="n"/>
      <c r="L28" s="2">
        <f>L27+K28</f>
        <v/>
      </c>
      <c r="M28" s="11">
        <f>IF(L28&gt;=751,"Gegenkraft Master",IF(L28&gt;=501,"Breaker",IF(L28&gt;=301,"Saboteur",IF(L28&gt;=151,"Disruptor",IF(L28&gt;=51,"Resister","Recruit")))))</f>
        <v/>
      </c>
      <c r="N28" s="2" t="n"/>
    </row>
    <row r="29">
      <c r="A29" s="3" t="inlineStr">
        <is>
          <t>2026-04-26</t>
        </is>
      </c>
      <c r="B29" s="12" t="n">
        <v>28</v>
      </c>
      <c r="C29" s="12" t="n"/>
      <c r="D29" s="12" t="n"/>
      <c r="E29" s="12" t="n"/>
      <c r="F29" s="3" t="n"/>
      <c r="G29" s="3" t="n"/>
      <c r="H29" s="12" t="n"/>
      <c r="I29" s="3" t="n"/>
      <c r="J29" s="12" t="n"/>
      <c r="K29" s="3" t="n"/>
      <c r="L29" s="3">
        <f>L28+K29</f>
        <v/>
      </c>
      <c r="M29" s="13">
        <f>IF(L29&gt;=751,"Gegenkraft Master",IF(L29&gt;=501,"Breaker",IF(L29&gt;=301,"Saboteur",IF(L29&gt;=151,"Disruptor",IF(L29&gt;=51,"Resister","Recruit")))))</f>
        <v/>
      </c>
      <c r="N29" s="3" t="n"/>
    </row>
    <row r="30">
      <c r="A30" s="2" t="inlineStr">
        <is>
          <t>2026-04-27</t>
        </is>
      </c>
      <c r="B30" s="10" t="n">
        <v>29</v>
      </c>
      <c r="C30" s="10" t="n"/>
      <c r="D30" s="10" t="n"/>
      <c r="E30" s="10" t="n"/>
      <c r="F30" s="2" t="n"/>
      <c r="G30" s="2" t="n"/>
      <c r="H30" s="10" t="n"/>
      <c r="I30" s="2" t="n"/>
      <c r="J30" s="10" t="n"/>
      <c r="K30" s="2" t="n"/>
      <c r="L30" s="2">
        <f>L29+K30</f>
        <v/>
      </c>
      <c r="M30" s="11">
        <f>IF(L30&gt;=751,"Gegenkraft Master",IF(L30&gt;=501,"Breaker",IF(L30&gt;=301,"Saboteur",IF(L30&gt;=151,"Disruptor",IF(L30&gt;=51,"Resister","Recruit")))))</f>
        <v/>
      </c>
      <c r="N30" s="2" t="n"/>
    </row>
    <row r="31">
      <c r="A31" s="3" t="inlineStr">
        <is>
          <t>2026-04-28</t>
        </is>
      </c>
      <c r="B31" s="12" t="n">
        <v>30</v>
      </c>
      <c r="C31" s="12" t="n"/>
      <c r="D31" s="12" t="n"/>
      <c r="E31" s="12" t="n"/>
      <c r="F31" s="3" t="n"/>
      <c r="G31" s="3" t="n"/>
      <c r="H31" s="12" t="n"/>
      <c r="I31" s="3" t="n"/>
      <c r="J31" s="12" t="n"/>
      <c r="K31" s="3" t="n"/>
      <c r="L31" s="3">
        <f>L30+K31</f>
        <v/>
      </c>
      <c r="M31" s="13">
        <f>IF(L31&gt;=751,"Gegenkraft Master",IF(L31&gt;=501,"Breaker",IF(L31&gt;=301,"Saboteur",IF(L31&gt;=151,"Disruptor",IF(L31&gt;=51,"Resister","Recruit")))))</f>
        <v/>
      </c>
      <c r="N3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2026-03-30T17:23:28Z</dcterms:created>
  <dcterms:modified xsi:type="dcterms:W3CDTF">2026-03-30T17:23:28Z</dcterms:modified>
</cp:coreProperties>
</file>